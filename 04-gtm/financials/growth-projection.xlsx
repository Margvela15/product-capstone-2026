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a9fc24744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f1343e7afd34353"/>
    <x:sheet xmlns:r="http://schemas.openxmlformats.org/officeDocument/2006/relationships" name="Calculations" sheetId="2" r:id="Rd31faf4445744efd"/>
    <x:sheet xmlns:r="http://schemas.openxmlformats.org/officeDocument/2006/relationships" name="Outputs" sheetId="3" r:id="Rf7b30201f1e5477f"/>
    <x:sheet xmlns:r="http://schemas.openxmlformats.org/officeDocument/2006/relationships" name="Stress Test" sheetId="4" r:id="Rfcad9ff5163b42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0.00"/>
    <x:numFmt numFmtId="201" formatCode="0%"/>
    <x:numFmt numFmtId="202" formatCode="0.00"/>
    <x:numFmt numFmtId="203" formatCode="0"/>
    <x:numFmt numFmtId="204" formatCode="0.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5B9BD5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202" fontId="0" fillId="3" borderId="0" xfId="0" applyNumberFormat="1" applyFont="1" applyFill="1" applyBorder="1"/>
    <x:xf numFmtId="202" fontId="0" fillId="3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4f2b3a02d4898" /><Relationship Type="http://schemas.openxmlformats.org/officeDocument/2006/relationships/theme" Target="/xl/theme/theme1.xml" Id="R922a704a9eac4538" /><Relationship Type="http://schemas.openxmlformats.org/officeDocument/2006/relationships/sharedStrings" Target="/xl/sharedStrings.xml" Id="Raa3fd8122e514ab4" /><Relationship Type="http://schemas.openxmlformats.org/officeDocument/2006/relationships/worksheet" Target="/xl/worksheets/sheet1.xml" Id="R5f1343e7afd34353" /><Relationship Type="http://schemas.openxmlformats.org/officeDocument/2006/relationships/worksheet" Target="/xl/worksheets/sheet2.xml" Id="Rd31faf4445744efd" /><Relationship Type="http://schemas.openxmlformats.org/officeDocument/2006/relationships/worksheet" Target="/xl/worksheets/sheet3.xml" Id="Rf7b30201f1e5477f" /><Relationship Type="http://schemas.openxmlformats.org/officeDocument/2006/relationships/worksheet" Target="/xl/worksheets/sheet4.xml" Id="Rfcad9ff5163b42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d5e2e8e1de648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DormSync Cumulative Users by Month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Spend</c:v>
          </c:tx>
          <c:cat>
            <c:strRef>
              <c:f>'Outputs'!$A$12:$A$17</c:f>
              <c:strCache>
                <c:ptCount val="0"/>
              </c:strCache>
            </c:strRef>
          </c:cat>
          <c:val>
            <c:numRef>
              <c:f>'Outputs'!$B$12:$B$17</c:f>
              <c:numCache>
                <c:formatCode>$0.00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Signups</c:v>
          </c:tx>
          <c:cat>
            <c:strRef>
              <c:f>'Outputs'!$A$12:$A$17</c:f>
              <c:strCache>
                <c:ptCount val="0"/>
              </c:strCache>
            </c:strRef>
          </c:cat>
          <c:val>
            <c:numRef>
              <c:f>'Outputs'!$C$12:$C$17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Activated</c:v>
          </c:tx>
          <c:cat>
            <c:strRef>
              <c:f>'Outputs'!$A$12:$A$17</c:f>
              <c:strCache>
                <c:ptCount val="0"/>
              </c:strCache>
            </c:strRef>
          </c:cat>
          <c:val>
            <c:numRef>
              <c:f>'Outputs'!$D$12:$D$17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Cumulative Users</c:v>
          </c:tx>
          <c:cat>
            <c:strRef>
              <c:f>'Outputs'!$A$12:$A$17</c:f>
              <c:strCache>
                <c:ptCount val="0"/>
              </c:strCache>
            </c:strRef>
          </c:cat>
          <c:val>
            <c:numRef>
              <c:f>'Outputs'!$E$12:$E$17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5e2e8e1de648c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rowthCalculationsTable" displayName="GrowthCalculationsTable" ref="A4:K22" headerRowCount="1">
  <x:tableColumns count="11">
    <x:tableColumn id="1" name="Month"/>
    <x:tableColumn id="2" name="Channel"/>
    <x:tableColumn id="3" name="Spend"/>
    <x:tableColumn id="4" name="Visitors"/>
    <x:tableColumn id="5" name="Signup Rate"/>
    <x:tableColumn id="6" name="Signups"/>
    <x:tableColumn id="7" name="Activated Users"/>
    <x:tableColumn id="8" name="Retained D30"/>
    <x:tableColumn id="9" name="CAC"/>
    <x:tableColumn id="10" name="LTV"/>
    <x:tableColumn id="11" name="Cumulative Users"/>
  </x:tableColumns>
  <x:tableStyleInfo name="TableStyleMedium2" showRowStripes="1"/>
</x:table>
</file>

<file path=xl/tables/table2.xml><?xml version="1.0" encoding="utf-8"?>
<x:table xmlns:x="http://schemas.openxmlformats.org/spreadsheetml/2006/main" id="2" name="MonthlyOutputsTable" displayName="MonthlyOutputsTable" ref="A11:E17" headerRowCount="1">
  <x:tableColumns count="5">
    <x:tableColumn id="1" name="Month"/>
    <x:tableColumn id="2" name="Spend"/>
    <x:tableColumn id="3" name="Signups"/>
    <x:tableColumn id="4" name="Activated"/>
    <x:tableColumn id="5" name="Cumulative Use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b1734199534b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5fb2db70c9f4688" /><Relationship Type="http://schemas.openxmlformats.org/officeDocument/2006/relationships/table" Target="/xl/tables/table2.xml" Id="R89b1eb0a4460496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40" t="str">
        <x:v>DormSync Growth Projection Inputs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</x:row>
    <x:row r="2">
      <x:c r="A2" t="str">
        <x:v>Editable assumptions for 6-month Lab 10 growth model. Yellow cells are safe to change.</x:v>
      </x:c>
    </x:row>
    <x:row r="4">
      <x:c r="A4" s="9" t="str">
        <x:v>Scenario Toggle</x:v>
      </x:c>
      <x:c r="B4" s="9" t="str">
        <x:v>Expected</x:v>
      </x:c>
    </x:row>
    <x:row r="6">
      <x:c r="A6" s="13" t="str">
        <x:v>Global Assumption</x:v>
      </x:c>
      <x:c r="B6" s="13" t="str">
        <x:v>Value</x:v>
      </x:c>
    </x:row>
    <x:row r="7">
      <x:c r="A7" t="str">
        <x:v>Value proxy per active user / month</x:v>
      </x:c>
      <x:c r="B7" s="16" t="n">
        <x:v>3</x:v>
      </x:c>
    </x:row>
    <x:row r="8">
      <x:c r="A8" t="str">
        <x:v>Gross margin</x:v>
      </x:c>
      <x:c r="B8" s="18" t="n">
        <x:v>0.9</x:v>
      </x:c>
    </x:row>
    <x:row r="9">
      <x:c r="A9" t="str">
        <x:v>Average lifetime months</x:v>
      </x:c>
      <x:c r="B9" s="20" t="n">
        <x:v>6</x:v>
      </x:c>
    </x:row>
    <x:row r="10">
      <x:c r="A10" t="str">
        <x:v>Student labor rate / hour</x:v>
      </x:c>
      <x:c r="B10" s="20" t="n">
        <x:v>5</x:v>
      </x:c>
    </x:row>
    <x:row r="11">
      <x:c r="A11" t="str">
        <x:v>Starting retained users</x:v>
      </x:c>
      <x:c r="B11" s="20" t="n">
        <x:v>0</x:v>
      </x:c>
    </x:row>
    <x:row r="13">
      <x:c r="A13" s="22" t="str">
        <x:v>Channel</x:v>
      </x:c>
      <x:c r="B13" s="22" t="str">
        <x:v>Type</x:v>
      </x:c>
      <x:c r="C13" s="22" t="str">
        <x:v>Monthly Spend</x:v>
      </x:c>
      <x:c r="D13" s="22" t="str">
        <x:v>Monthly Visitors</x:v>
      </x:c>
      <x:c r="E13" s="22" t="str">
        <x:v>Signup Rate Worst</x:v>
      </x:c>
      <x:c r="F13" s="22" t="str">
        <x:v>Signup Rate Expected</x:v>
      </x:c>
      <x:c r="G13" s="22" t="str">
        <x:v>Signup Rate Best</x:v>
      </x:c>
      <x:c r="H13" s="22" t="str">
        <x:v>Activation Rate</x:v>
      </x:c>
      <x:c r="I13" s="22" t="str">
        <x:v>D30 Retention</x:v>
      </x:c>
      <x:c r="J13" s="22" t="str">
        <x:v>LTV</x:v>
      </x:c>
    </x:row>
    <x:row r="14">
      <x:c r="A14" t="str">
        <x:v>Instagram/WhatsApp promotion</x:v>
      </x:c>
      <x:c r="B14" t="str">
        <x:v>Organic</x:v>
      </x:c>
      <x:c r="C14" s="16" t="n">
        <x:v>30</x:v>
      </x:c>
      <x:c r="D14" s="8" t="n">
        <x:v>450</x:v>
      </x:c>
      <x:c r="E14" s="18" t="n">
        <x:v>0.04</x:v>
      </x:c>
      <x:c r="F14" s="18" t="n">
        <x:v>0.08</x:v>
      </x:c>
      <x:c r="G14" s="18" t="n">
        <x:v>0.12</x:v>
      </x:c>
      <x:c r="H14" s="18" t="n">
        <x:v>0.65</x:v>
      </x:c>
      <x:c r="I14" s="18" t="n">
        <x:v>0.55</x:v>
      </x:c>
      <x:c r="J14" s="24" t="n">
        <x:f>$B$7*$B$8*$B$9</x:f>
        <x:v>16.200000000000003</x:v>
      </x:c>
    </x:row>
    <x:row r="15">
      <x:c r="A15" t="str">
        <x:v>Resident assistant referrals</x:v>
      </x:c>
      <x:c r="B15" t="str">
        <x:v>Partnership</x:v>
      </x:c>
      <x:c r="C15" s="16" t="n">
        <x:v>20</x:v>
      </x:c>
      <x:c r="D15" s="8" t="n">
        <x:v>180</x:v>
      </x:c>
      <x:c r="E15" s="18" t="n">
        <x:v>0.08</x:v>
      </x:c>
      <x:c r="F15" s="18" t="n">
        <x:v>0.16</x:v>
      </x:c>
      <x:c r="G15" s="18" t="n">
        <x:v>0.24</x:v>
      </x:c>
      <x:c r="H15" s="18" t="n">
        <x:v>0.75</x:v>
      </x:c>
      <x:c r="I15" s="18" t="n">
        <x:v>0.65</x:v>
      </x:c>
      <x:c r="J15" s="24" t="n">
        <x:f>$B$7*$B$8*$B$9</x:f>
        <x:v>16.200000000000003</x:v>
      </x:c>
    </x:row>
    <x:row r="16">
      <x:c r="A16" t="str">
        <x:v>Dorm posters with QR codes</x:v>
      </x:c>
      <x:c r="B16" t="str">
        <x:v>Offline/Organic</x:v>
      </x:c>
      <x:c r="C16" s="16" t="n">
        <x:v>55</x:v>
      </x:c>
      <x:c r="D16" s="8" t="n">
        <x:v>300</x:v>
      </x:c>
      <x:c r="E16" s="18" t="n">
        <x:v>0.03</x:v>
      </x:c>
      <x:c r="F16" s="18" t="n">
        <x:v>0.06</x:v>
      </x:c>
      <x:c r="G16" s="18" t="n">
        <x:v>0.1</x:v>
      </x:c>
      <x:c r="H16" s="18" t="n">
        <x:v>0.6</x:v>
      </x:c>
      <x:c r="I16" s="18" t="n">
        <x:v>0.5</x:v>
      </x:c>
      <x:c r="J16" s="24" t="n">
        <x:f>$B$7*$B$8*$B$9</x:f>
        <x:v>16.200000000000003</x:v>
      </x:c>
    </x:row>
    <x:row r="18">
      <x:c r="A18" s="27" t="str">
        <x:v>Assumption Sources / Notes</x:v>
      </x:c>
    </x:row>
    <x:row r="19">
      <x:c r="A19" t="str">
        <x:v>Value proxy</x:v>
      </x:c>
      <x:c r="B19" t="str">
        <x:v>DormSync is free; proxy is estimated from time saved and reduced roommate conflict.</x:v>
      </x:c>
      <x:c r="C19" t="str"/>
      <x:c r="D19" t="str"/>
      <x:c r="E19" t="str"/>
      <x:c r="F19" t="str"/>
      <x:c r="G19" t="str"/>
      <x:c r="H19" t="str"/>
      <x:c r="I19" t="str"/>
      <x:c r="J19" t="str"/>
    </x:row>
    <x:row r="20">
      <x:c r="A20" t="str">
        <x:v>Monthly spend</x:v>
      </x:c>
      <x:c r="B20" t="str">
        <x:v>Student-level costs: small printing budget, content time, and coordination effort.</x:v>
      </x:c>
      <x:c r="C20" t="str"/>
      <x:c r="D20" t="str"/>
      <x:c r="E20" t="str"/>
      <x:c r="F20" t="str"/>
      <x:c r="G20" t="str"/>
      <x:c r="H20" t="str"/>
      <x:c r="I20" t="str"/>
      <x:c r="J20" t="str"/>
    </x:row>
    <x:row r="21">
      <x:c r="A21" t="str">
        <x:v>Conversion rates</x:v>
      </x:c>
      <x:c r="B21" t="str">
        <x:v>Defensible placeholder estimates until real analytics from Instagram, WhatsApp, QR codes, and RA referrals are available.</x:v>
      </x:c>
      <x:c r="C21" t="str"/>
      <x:c r="D21" t="str"/>
      <x:c r="E21" t="str"/>
      <x:c r="F21" t="str"/>
      <x:c r="G21" t="str"/>
      <x:c r="H21" t="str"/>
      <x:c r="I21" t="str"/>
      <x:c r="J21" t="str"/>
    </x:row>
    <x:row r="22">
      <x:c r="A22" t="str">
        <x:v>Retention</x:v>
      </x:c>
      <x:c r="B22" t="str">
        <x:v>Early estimate based on monthly dorm living cycle; replace with actual D30 retention.</x:v>
      </x:c>
      <x:c r="C22" t="str"/>
      <x:c r="D22" t="str"/>
      <x:c r="E22" t="str"/>
      <x:c r="F22" t="str"/>
      <x:c r="G22" t="str"/>
      <x:c r="H22" t="str"/>
      <x:c r="I22" t="str"/>
      <x:c r="J22" t="str"/>
    </x:row>
    <x:row r="23">
      <x:c r="A23" t="str">
        <x:v>Model rule</x:v>
      </x:c>
      <x:c r="B23" t="str">
        <x:v>All growth calculations use formulas and scenario toggle in B4.</x:v>
      </x:c>
      <x:c r="C23" t="str"/>
      <x:c r="D23" t="str"/>
      <x:c r="E23" t="str"/>
      <x:c r="F23" t="str"/>
      <x:c r="G23" t="str"/>
      <x:c r="H23" t="str"/>
      <x:c r="I23" t="str"/>
      <x:c r="J23" t="str"/>
    </x:row>
  </x:sheetData>
  <x:mergeCells>
    <x:mergeCell ref="A1:J1"/>
    <x:mergeCell ref="A2:J2"/>
    <x:mergeCell ref="A18:J18"/>
  </x:mergeCells>
  <x:dataValidations count="1">
    <x:dataValidation type="list" sqref="B4">
      <x:formula1>"Worst,Expected,Best"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40" t="str">
        <x:v>DormSync 6-Month Growth Projection Calculations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</x:row>
    <x:row r="2">
      <x:c r="A2" t="str">
        <x:v>Monthly cohort model by channel. Formulas reference Inputs tab and selected scenario.</x:v>
      </x:c>
    </x:row>
    <x:row r="4">
      <x:c r="A4" s="22" t="str">
        <x:v>Month</x:v>
      </x:c>
      <x:c r="B4" s="22" t="str">
        <x:v>Channel</x:v>
      </x:c>
      <x:c r="C4" s="22" t="str">
        <x:v>Spend</x:v>
      </x:c>
      <x:c r="D4" s="22" t="str">
        <x:v>Visitors</x:v>
      </x:c>
      <x:c r="E4" s="22" t="str">
        <x:v>Signup Rate</x:v>
      </x:c>
      <x:c r="F4" s="22" t="str">
        <x:v>Signups</x:v>
      </x:c>
      <x:c r="G4" s="22" t="str">
        <x:v>Activated Users</x:v>
      </x:c>
      <x:c r="H4" s="22" t="str">
        <x:v>Retained D30</x:v>
      </x:c>
      <x:c r="I4" s="22" t="str">
        <x:v>CAC</x:v>
      </x:c>
      <x:c r="J4" s="22" t="str">
        <x:v>LTV</x:v>
      </x:c>
      <x:c r="K4" s="22" t="str">
        <x:v>Cumulative Users</x:v>
      </x:c>
    </x:row>
    <x:row r="5">
      <x:c r="A5" t="n">
        <x:v>1</x:v>
      </x:c>
      <x:c r="B5" t="str">
        <x:v>Instagram/WhatsApp promotion</x:v>
      </x:c>
      <x:c r="C5" s="24" t="n">
        <x:f>INDEX(Inputs!$C$14:$C$16,MATCH(B5,Inputs!$A$14:$A$16,0))</x:f>
        <x:v>30</x:v>
      </x:c>
      <x:c r="D5" s="30" t="n">
        <x:f>INDEX(Inputs!$D$14:$D$16,MATCH(B5,Inputs!$A$14:$A$16,0))</x:f>
        <x:v>450</x:v>
      </x:c>
      <x:c r="E5" s="32" t="n">
        <x:f>IF(Inputs!$B$4="Worst",INDEX(Inputs!$E$14:$E$16,MATCH(B5,Inputs!$A$14:$A$16,0)),IF(Inputs!$B$4="Best",INDEX(Inputs!$G$14:$G$16,MATCH(B5,Inputs!$A$14:$A$16,0)),INDEX(Inputs!$F$14:$F$16,MATCH(B5,Inputs!$A$14:$A$16,0))))</x:f>
        <x:v>0.08</x:v>
      </x:c>
      <x:c r="F5" s="34" t="n">
        <x:f>D5*E5</x:f>
        <x:v>36</x:v>
      </x:c>
      <x:c r="G5" s="34" t="n">
        <x:f>F5*INDEX(Inputs!$H$14:$H$16,MATCH(B5,Inputs!$A$14:$A$16,0))</x:f>
        <x:v>23.400000000000002</x:v>
      </x:c>
      <x:c r="H5" s="34" t="n">
        <x:f>G5*INDEX(Inputs!$I$14:$I$16,MATCH(B5,Inputs!$A$14:$A$16,0))</x:f>
        <x:v>12.870000000000003</x:v>
      </x:c>
      <x:c r="I5" s="24" t="n">
        <x:f>IF(G5=0,0,C5/G5)</x:f>
        <x:v>1.282051282051282</x:v>
      </x:c>
      <x:c r="J5" s="24" t="n">
        <x:f>INDEX(Inputs!$J$14:$J$16,MATCH(B5,Inputs!$A$14:$A$16,0))</x:f>
        <x:v>16.200000000000003</x:v>
      </x:c>
      <x:c r="K5" s="34" t="n">
        <x:f>Inputs!$B$11+SUM($H$5:H5)</x:f>
        <x:v>12.870000000000003</x:v>
      </x:c>
    </x:row>
    <x:row r="6">
      <x:c r="A6" t="n">
        <x:v>1</x:v>
      </x:c>
      <x:c r="B6" t="str">
        <x:v>Resident assistant referrals</x:v>
      </x:c>
      <x:c r="C6" s="24" t="n">
        <x:f>INDEX(Inputs!$C$14:$C$16,MATCH(B6,Inputs!$A$14:$A$16,0))</x:f>
        <x:v>20</x:v>
      </x:c>
      <x:c r="D6" s="30" t="n">
        <x:f>INDEX(Inputs!$D$14:$D$16,MATCH(B6,Inputs!$A$14:$A$16,0))</x:f>
        <x:v>180</x:v>
      </x:c>
      <x:c r="E6" s="32" t="n">
        <x:f>IF(Inputs!$B$4="Worst",INDEX(Inputs!$E$14:$E$16,MATCH(B6,Inputs!$A$14:$A$16,0)),IF(Inputs!$B$4="Best",INDEX(Inputs!$G$14:$G$16,MATCH(B6,Inputs!$A$14:$A$16,0)),INDEX(Inputs!$F$14:$F$16,MATCH(B6,Inputs!$A$14:$A$16,0))))</x:f>
        <x:v>0.16</x:v>
      </x:c>
      <x:c r="F6" s="34" t="n">
        <x:f>D6*E6</x:f>
        <x:v>28.8</x:v>
      </x:c>
      <x:c r="G6" s="34" t="n">
        <x:f>F6*INDEX(Inputs!$H$14:$H$16,MATCH(B6,Inputs!$A$14:$A$16,0))</x:f>
        <x:v>21.6</x:v>
      </x:c>
      <x:c r="H6" s="34" t="n">
        <x:f>G6*INDEX(Inputs!$I$14:$I$16,MATCH(B6,Inputs!$A$14:$A$16,0))</x:f>
        <x:v>14.040000000000001</x:v>
      </x:c>
      <x:c r="I6" s="24" t="n">
        <x:f>IF(G6=0,0,C6/G6)</x:f>
        <x:v>0.9259259259259258</x:v>
      </x:c>
      <x:c r="J6" s="24" t="n">
        <x:f>INDEX(Inputs!$J$14:$J$16,MATCH(B6,Inputs!$A$14:$A$16,0))</x:f>
        <x:v>16.200000000000003</x:v>
      </x:c>
      <x:c r="K6" s="34" t="n">
        <x:f>Inputs!$B$11+SUM($H$5:H6)</x:f>
        <x:v>26.910000000000004</x:v>
      </x:c>
    </x:row>
    <x:row r="7">
      <x:c r="A7" t="n">
        <x:v>1</x:v>
      </x:c>
      <x:c r="B7" t="str">
        <x:v>Dorm posters with QR codes</x:v>
      </x:c>
      <x:c r="C7" s="24" t="n">
        <x:f>INDEX(Inputs!$C$14:$C$16,MATCH(B7,Inputs!$A$14:$A$16,0))</x:f>
        <x:v>55</x:v>
      </x:c>
      <x:c r="D7" s="30" t="n">
        <x:f>INDEX(Inputs!$D$14:$D$16,MATCH(B7,Inputs!$A$14:$A$16,0))</x:f>
        <x:v>300</x:v>
      </x:c>
      <x:c r="E7" s="32" t="n">
        <x:f>IF(Inputs!$B$4="Worst",INDEX(Inputs!$E$14:$E$16,MATCH(B7,Inputs!$A$14:$A$16,0)),IF(Inputs!$B$4="Best",INDEX(Inputs!$G$14:$G$16,MATCH(B7,Inputs!$A$14:$A$16,0)),INDEX(Inputs!$F$14:$F$16,MATCH(B7,Inputs!$A$14:$A$16,0))))</x:f>
        <x:v>0.06</x:v>
      </x:c>
      <x:c r="F7" s="34" t="n">
        <x:f>D7*E7</x:f>
        <x:v>18</x:v>
      </x:c>
      <x:c r="G7" s="34" t="n">
        <x:f>F7*INDEX(Inputs!$H$14:$H$16,MATCH(B7,Inputs!$A$14:$A$16,0))</x:f>
        <x:v>10.799999999999999</x:v>
      </x:c>
      <x:c r="H7" s="34" t="n">
        <x:f>G7*INDEX(Inputs!$I$14:$I$16,MATCH(B7,Inputs!$A$14:$A$16,0))</x:f>
        <x:v>5.3999999999999995</x:v>
      </x:c>
      <x:c r="I7" s="24" t="n">
        <x:f>IF(G7=0,0,C7/G7)</x:f>
        <x:v>5.0925925925925934</x:v>
      </x:c>
      <x:c r="J7" s="24" t="n">
        <x:f>INDEX(Inputs!$J$14:$J$16,MATCH(B7,Inputs!$A$14:$A$16,0))</x:f>
        <x:v>16.200000000000003</x:v>
      </x:c>
      <x:c r="K7" s="34" t="n">
        <x:f>Inputs!$B$11+SUM($H$5:H7)</x:f>
        <x:v>32.31</x:v>
      </x:c>
    </x:row>
    <x:row r="8">
      <x:c r="A8" t="n">
        <x:v>2</x:v>
      </x:c>
      <x:c r="B8" t="str">
        <x:v>Instagram/WhatsApp promotion</x:v>
      </x:c>
      <x:c r="C8" s="24" t="n">
        <x:f>INDEX(Inputs!$C$14:$C$16,MATCH(B8,Inputs!$A$14:$A$16,0))</x:f>
        <x:v>30</x:v>
      </x:c>
      <x:c r="D8" s="30" t="n">
        <x:f>INDEX(Inputs!$D$14:$D$16,MATCH(B8,Inputs!$A$14:$A$16,0))</x:f>
        <x:v>450</x:v>
      </x:c>
      <x:c r="E8" s="32" t="n">
        <x:f>IF(Inputs!$B$4="Worst",INDEX(Inputs!$E$14:$E$16,MATCH(B8,Inputs!$A$14:$A$16,0)),IF(Inputs!$B$4="Best",INDEX(Inputs!$G$14:$G$16,MATCH(B8,Inputs!$A$14:$A$16,0)),INDEX(Inputs!$F$14:$F$16,MATCH(B8,Inputs!$A$14:$A$16,0))))</x:f>
        <x:v>0.08</x:v>
      </x:c>
      <x:c r="F8" s="34" t="n">
        <x:f>D8*E8</x:f>
        <x:v>36</x:v>
      </x:c>
      <x:c r="G8" s="34" t="n">
        <x:f>F8*INDEX(Inputs!$H$14:$H$16,MATCH(B8,Inputs!$A$14:$A$16,0))</x:f>
        <x:v>23.400000000000002</x:v>
      </x:c>
      <x:c r="H8" s="34" t="n">
        <x:f>G8*INDEX(Inputs!$I$14:$I$16,MATCH(B8,Inputs!$A$14:$A$16,0))</x:f>
        <x:v>12.870000000000003</x:v>
      </x:c>
      <x:c r="I8" s="24" t="n">
        <x:f>IF(G8=0,0,C8/G8)</x:f>
        <x:v>1.282051282051282</x:v>
      </x:c>
      <x:c r="J8" s="24" t="n">
        <x:f>INDEX(Inputs!$J$14:$J$16,MATCH(B8,Inputs!$A$14:$A$16,0))</x:f>
        <x:v>16.200000000000003</x:v>
      </x:c>
      <x:c r="K8" s="34" t="n">
        <x:f>Inputs!$B$11+SUM($H$5:H8)</x:f>
        <x:v>45.18000000000001</x:v>
      </x:c>
    </x:row>
    <x:row r="9">
      <x:c r="A9" t="n">
        <x:v>2</x:v>
      </x:c>
      <x:c r="B9" t="str">
        <x:v>Resident assistant referrals</x:v>
      </x:c>
      <x:c r="C9" s="24" t="n">
        <x:f>INDEX(Inputs!$C$14:$C$16,MATCH(B9,Inputs!$A$14:$A$16,0))</x:f>
        <x:v>20</x:v>
      </x:c>
      <x:c r="D9" s="30" t="n">
        <x:f>INDEX(Inputs!$D$14:$D$16,MATCH(B9,Inputs!$A$14:$A$16,0))</x:f>
        <x:v>180</x:v>
      </x:c>
      <x:c r="E9" s="32" t="n">
        <x:f>IF(Inputs!$B$4="Worst",INDEX(Inputs!$E$14:$E$16,MATCH(B9,Inputs!$A$14:$A$16,0)),IF(Inputs!$B$4="Best",INDEX(Inputs!$G$14:$G$16,MATCH(B9,Inputs!$A$14:$A$16,0)),INDEX(Inputs!$F$14:$F$16,MATCH(B9,Inputs!$A$14:$A$16,0))))</x:f>
        <x:v>0.16</x:v>
      </x:c>
      <x:c r="F9" s="34" t="n">
        <x:f>D9*E9</x:f>
        <x:v>28.8</x:v>
      </x:c>
      <x:c r="G9" s="34" t="n">
        <x:f>F9*INDEX(Inputs!$H$14:$H$16,MATCH(B9,Inputs!$A$14:$A$16,0))</x:f>
        <x:v>21.6</x:v>
      </x:c>
      <x:c r="H9" s="34" t="n">
        <x:f>G9*INDEX(Inputs!$I$14:$I$16,MATCH(B9,Inputs!$A$14:$A$16,0))</x:f>
        <x:v>14.040000000000001</x:v>
      </x:c>
      <x:c r="I9" s="24" t="n">
        <x:f>IF(G9=0,0,C9/G9)</x:f>
        <x:v>0.9259259259259258</x:v>
      </x:c>
      <x:c r="J9" s="24" t="n">
        <x:f>INDEX(Inputs!$J$14:$J$16,MATCH(B9,Inputs!$A$14:$A$16,0))</x:f>
        <x:v>16.200000000000003</x:v>
      </x:c>
      <x:c r="K9" s="34" t="n">
        <x:f>Inputs!$B$11+SUM($H$5:H9)</x:f>
        <x:v>59.220000000000006</x:v>
      </x:c>
    </x:row>
    <x:row r="10">
      <x:c r="A10" t="n">
        <x:v>2</x:v>
      </x:c>
      <x:c r="B10" t="str">
        <x:v>Dorm posters with QR codes</x:v>
      </x:c>
      <x:c r="C10" s="24" t="n">
        <x:f>INDEX(Inputs!$C$14:$C$16,MATCH(B10,Inputs!$A$14:$A$16,0))</x:f>
        <x:v>55</x:v>
      </x:c>
      <x:c r="D10" s="30" t="n">
        <x:f>INDEX(Inputs!$D$14:$D$16,MATCH(B10,Inputs!$A$14:$A$16,0))</x:f>
        <x:v>300</x:v>
      </x:c>
      <x:c r="E10" s="32" t="n">
        <x:f>IF(Inputs!$B$4="Worst",INDEX(Inputs!$E$14:$E$16,MATCH(B10,Inputs!$A$14:$A$16,0)),IF(Inputs!$B$4="Best",INDEX(Inputs!$G$14:$G$16,MATCH(B10,Inputs!$A$14:$A$16,0)),INDEX(Inputs!$F$14:$F$16,MATCH(B10,Inputs!$A$14:$A$16,0))))</x:f>
        <x:v>0.06</x:v>
      </x:c>
      <x:c r="F10" s="34" t="n">
        <x:f>D10*E10</x:f>
        <x:v>18</x:v>
      </x:c>
      <x:c r="G10" s="34" t="n">
        <x:f>F10*INDEX(Inputs!$H$14:$H$16,MATCH(B10,Inputs!$A$14:$A$16,0))</x:f>
        <x:v>10.799999999999999</x:v>
      </x:c>
      <x:c r="H10" s="34" t="n">
        <x:f>G10*INDEX(Inputs!$I$14:$I$16,MATCH(B10,Inputs!$A$14:$A$16,0))</x:f>
        <x:v>5.3999999999999995</x:v>
      </x:c>
      <x:c r="I10" s="24" t="n">
        <x:f>IF(G10=0,0,C10/G10)</x:f>
        <x:v>5.0925925925925934</x:v>
      </x:c>
      <x:c r="J10" s="24" t="n">
        <x:f>INDEX(Inputs!$J$14:$J$16,MATCH(B10,Inputs!$A$14:$A$16,0))</x:f>
        <x:v>16.200000000000003</x:v>
      </x:c>
      <x:c r="K10" s="34" t="n">
        <x:f>Inputs!$B$11+SUM($H$5:H10)</x:f>
        <x:v>64.62</x:v>
      </x:c>
    </x:row>
    <x:row r="11">
      <x:c r="A11" t="n">
        <x:v>3</x:v>
      </x:c>
      <x:c r="B11" t="str">
        <x:v>Instagram/WhatsApp promotion</x:v>
      </x:c>
      <x:c r="C11" s="24" t="n">
        <x:f>INDEX(Inputs!$C$14:$C$16,MATCH(B11,Inputs!$A$14:$A$16,0))</x:f>
        <x:v>30</x:v>
      </x:c>
      <x:c r="D11" s="30" t="n">
        <x:f>INDEX(Inputs!$D$14:$D$16,MATCH(B11,Inputs!$A$14:$A$16,0))</x:f>
        <x:v>450</x:v>
      </x:c>
      <x:c r="E11" s="32" t="n">
        <x:f>IF(Inputs!$B$4="Worst",INDEX(Inputs!$E$14:$E$16,MATCH(B11,Inputs!$A$14:$A$16,0)),IF(Inputs!$B$4="Best",INDEX(Inputs!$G$14:$G$16,MATCH(B11,Inputs!$A$14:$A$16,0)),INDEX(Inputs!$F$14:$F$16,MATCH(B11,Inputs!$A$14:$A$16,0))))</x:f>
        <x:v>0.08</x:v>
      </x:c>
      <x:c r="F11" s="34" t="n">
        <x:f>D11*E11</x:f>
        <x:v>36</x:v>
      </x:c>
      <x:c r="G11" s="34" t="n">
        <x:f>F11*INDEX(Inputs!$H$14:$H$16,MATCH(B11,Inputs!$A$14:$A$16,0))</x:f>
        <x:v>23.400000000000002</x:v>
      </x:c>
      <x:c r="H11" s="34" t="n">
        <x:f>G11*INDEX(Inputs!$I$14:$I$16,MATCH(B11,Inputs!$A$14:$A$16,0))</x:f>
        <x:v>12.870000000000003</x:v>
      </x:c>
      <x:c r="I11" s="24" t="n">
        <x:f>IF(G11=0,0,C11/G11)</x:f>
        <x:v>1.282051282051282</x:v>
      </x:c>
      <x:c r="J11" s="24" t="n">
        <x:f>INDEX(Inputs!$J$14:$J$16,MATCH(B11,Inputs!$A$14:$A$16,0))</x:f>
        <x:v>16.200000000000003</x:v>
      </x:c>
      <x:c r="K11" s="34" t="n">
        <x:f>Inputs!$B$11+SUM($H$5:H11)</x:f>
        <x:v>77.49000000000001</x:v>
      </x:c>
    </x:row>
    <x:row r="12">
      <x:c r="A12" t="n">
        <x:v>3</x:v>
      </x:c>
      <x:c r="B12" t="str">
        <x:v>Resident assistant referrals</x:v>
      </x:c>
      <x:c r="C12" s="24" t="n">
        <x:f>INDEX(Inputs!$C$14:$C$16,MATCH(B12,Inputs!$A$14:$A$16,0))</x:f>
        <x:v>20</x:v>
      </x:c>
      <x:c r="D12" s="30" t="n">
        <x:f>INDEX(Inputs!$D$14:$D$16,MATCH(B12,Inputs!$A$14:$A$16,0))</x:f>
        <x:v>180</x:v>
      </x:c>
      <x:c r="E12" s="32" t="n">
        <x:f>IF(Inputs!$B$4="Worst",INDEX(Inputs!$E$14:$E$16,MATCH(B12,Inputs!$A$14:$A$16,0)),IF(Inputs!$B$4="Best",INDEX(Inputs!$G$14:$G$16,MATCH(B12,Inputs!$A$14:$A$16,0)),INDEX(Inputs!$F$14:$F$16,MATCH(B12,Inputs!$A$14:$A$16,0))))</x:f>
        <x:v>0.16</x:v>
      </x:c>
      <x:c r="F12" s="34" t="n">
        <x:f>D12*E12</x:f>
        <x:v>28.8</x:v>
      </x:c>
      <x:c r="G12" s="34" t="n">
        <x:f>F12*INDEX(Inputs!$H$14:$H$16,MATCH(B12,Inputs!$A$14:$A$16,0))</x:f>
        <x:v>21.6</x:v>
      </x:c>
      <x:c r="H12" s="34" t="n">
        <x:f>G12*INDEX(Inputs!$I$14:$I$16,MATCH(B12,Inputs!$A$14:$A$16,0))</x:f>
        <x:v>14.040000000000001</x:v>
      </x:c>
      <x:c r="I12" s="24" t="n">
        <x:f>IF(G12=0,0,C12/G12)</x:f>
        <x:v>0.9259259259259258</x:v>
      </x:c>
      <x:c r="J12" s="24" t="n">
        <x:f>INDEX(Inputs!$J$14:$J$16,MATCH(B12,Inputs!$A$14:$A$16,0))</x:f>
        <x:v>16.200000000000003</x:v>
      </x:c>
      <x:c r="K12" s="34" t="n">
        <x:f>Inputs!$B$11+SUM($H$5:H12)</x:f>
        <x:v>91.53000000000002</x:v>
      </x:c>
    </x:row>
    <x:row r="13">
      <x:c r="A13" t="n">
        <x:v>3</x:v>
      </x:c>
      <x:c r="B13" t="str">
        <x:v>Dorm posters with QR codes</x:v>
      </x:c>
      <x:c r="C13" s="24" t="n">
        <x:f>INDEX(Inputs!$C$14:$C$16,MATCH(B13,Inputs!$A$14:$A$16,0))</x:f>
        <x:v>55</x:v>
      </x:c>
      <x:c r="D13" s="30" t="n">
        <x:f>INDEX(Inputs!$D$14:$D$16,MATCH(B13,Inputs!$A$14:$A$16,0))</x:f>
        <x:v>300</x:v>
      </x:c>
      <x:c r="E13" s="32" t="n">
        <x:f>IF(Inputs!$B$4="Worst",INDEX(Inputs!$E$14:$E$16,MATCH(B13,Inputs!$A$14:$A$16,0)),IF(Inputs!$B$4="Best",INDEX(Inputs!$G$14:$G$16,MATCH(B13,Inputs!$A$14:$A$16,0)),INDEX(Inputs!$F$14:$F$16,MATCH(B13,Inputs!$A$14:$A$16,0))))</x:f>
        <x:v>0.06</x:v>
      </x:c>
      <x:c r="F13" s="34" t="n">
        <x:f>D13*E13</x:f>
        <x:v>18</x:v>
      </x:c>
      <x:c r="G13" s="34" t="n">
        <x:f>F13*INDEX(Inputs!$H$14:$H$16,MATCH(B13,Inputs!$A$14:$A$16,0))</x:f>
        <x:v>10.799999999999999</x:v>
      </x:c>
      <x:c r="H13" s="34" t="n">
        <x:f>G13*INDEX(Inputs!$I$14:$I$16,MATCH(B13,Inputs!$A$14:$A$16,0))</x:f>
        <x:v>5.3999999999999995</x:v>
      </x:c>
      <x:c r="I13" s="24" t="n">
        <x:f>IF(G13=0,0,C13/G13)</x:f>
        <x:v>5.0925925925925934</x:v>
      </x:c>
      <x:c r="J13" s="24" t="n">
        <x:f>INDEX(Inputs!$J$14:$J$16,MATCH(B13,Inputs!$A$14:$A$16,0))</x:f>
        <x:v>16.200000000000003</x:v>
      </x:c>
      <x:c r="K13" s="34" t="n">
        <x:f>Inputs!$B$11+SUM($H$5:H13)</x:f>
        <x:v>96.93000000000002</x:v>
      </x:c>
    </x:row>
    <x:row r="14">
      <x:c r="A14" t="n">
        <x:v>4</x:v>
      </x:c>
      <x:c r="B14" t="str">
        <x:v>Instagram/WhatsApp promotion</x:v>
      </x:c>
      <x:c r="C14" s="24" t="n">
        <x:f>INDEX(Inputs!$C$14:$C$16,MATCH(B14,Inputs!$A$14:$A$16,0))</x:f>
        <x:v>30</x:v>
      </x:c>
      <x:c r="D14" s="30" t="n">
        <x:f>INDEX(Inputs!$D$14:$D$16,MATCH(B14,Inputs!$A$14:$A$16,0))</x:f>
        <x:v>450</x:v>
      </x:c>
      <x:c r="E14" s="32" t="n">
        <x:f>IF(Inputs!$B$4="Worst",INDEX(Inputs!$E$14:$E$16,MATCH(B14,Inputs!$A$14:$A$16,0)),IF(Inputs!$B$4="Best",INDEX(Inputs!$G$14:$G$16,MATCH(B14,Inputs!$A$14:$A$16,0)),INDEX(Inputs!$F$14:$F$16,MATCH(B14,Inputs!$A$14:$A$16,0))))</x:f>
        <x:v>0.08</x:v>
      </x:c>
      <x:c r="F14" s="34" t="n">
        <x:f>D14*E14</x:f>
        <x:v>36</x:v>
      </x:c>
      <x:c r="G14" s="34" t="n">
        <x:f>F14*INDEX(Inputs!$H$14:$H$16,MATCH(B14,Inputs!$A$14:$A$16,0))</x:f>
        <x:v>23.400000000000002</x:v>
      </x:c>
      <x:c r="H14" s="34" t="n">
        <x:f>G14*INDEX(Inputs!$I$14:$I$16,MATCH(B14,Inputs!$A$14:$A$16,0))</x:f>
        <x:v>12.870000000000003</x:v>
      </x:c>
      <x:c r="I14" s="24" t="n">
        <x:f>IF(G14=0,0,C14/G14)</x:f>
        <x:v>1.282051282051282</x:v>
      </x:c>
      <x:c r="J14" s="24" t="n">
        <x:f>INDEX(Inputs!$J$14:$J$16,MATCH(B14,Inputs!$A$14:$A$16,0))</x:f>
        <x:v>16.200000000000003</x:v>
      </x:c>
      <x:c r="K14" s="34" t="n">
        <x:f>Inputs!$B$11+SUM($H$5:H14)</x:f>
        <x:v>109.80000000000003</x:v>
      </x:c>
    </x:row>
    <x:row r="15">
      <x:c r="A15" t="n">
        <x:v>4</x:v>
      </x:c>
      <x:c r="B15" t="str">
        <x:v>Resident assistant referrals</x:v>
      </x:c>
      <x:c r="C15" s="24" t="n">
        <x:f>INDEX(Inputs!$C$14:$C$16,MATCH(B15,Inputs!$A$14:$A$16,0))</x:f>
        <x:v>20</x:v>
      </x:c>
      <x:c r="D15" s="30" t="n">
        <x:f>INDEX(Inputs!$D$14:$D$16,MATCH(B15,Inputs!$A$14:$A$16,0))</x:f>
        <x:v>180</x:v>
      </x:c>
      <x:c r="E15" s="32" t="n">
        <x:f>IF(Inputs!$B$4="Worst",INDEX(Inputs!$E$14:$E$16,MATCH(B15,Inputs!$A$14:$A$16,0)),IF(Inputs!$B$4="Best",INDEX(Inputs!$G$14:$G$16,MATCH(B15,Inputs!$A$14:$A$16,0)),INDEX(Inputs!$F$14:$F$16,MATCH(B15,Inputs!$A$14:$A$16,0))))</x:f>
        <x:v>0.16</x:v>
      </x:c>
      <x:c r="F15" s="34" t="n">
        <x:f>D15*E15</x:f>
        <x:v>28.8</x:v>
      </x:c>
      <x:c r="G15" s="34" t="n">
        <x:f>F15*INDEX(Inputs!$H$14:$H$16,MATCH(B15,Inputs!$A$14:$A$16,0))</x:f>
        <x:v>21.6</x:v>
      </x:c>
      <x:c r="H15" s="34" t="n">
        <x:f>G15*INDEX(Inputs!$I$14:$I$16,MATCH(B15,Inputs!$A$14:$A$16,0))</x:f>
        <x:v>14.040000000000001</x:v>
      </x:c>
      <x:c r="I15" s="24" t="n">
        <x:f>IF(G15=0,0,C15/G15)</x:f>
        <x:v>0.9259259259259258</x:v>
      </x:c>
      <x:c r="J15" s="24" t="n">
        <x:f>INDEX(Inputs!$J$14:$J$16,MATCH(B15,Inputs!$A$14:$A$16,0))</x:f>
        <x:v>16.200000000000003</x:v>
      </x:c>
      <x:c r="K15" s="34" t="n">
        <x:f>Inputs!$B$11+SUM($H$5:H15)</x:f>
        <x:v>123.84000000000003</x:v>
      </x:c>
    </x:row>
    <x:row r="16">
      <x:c r="A16" t="n">
        <x:v>4</x:v>
      </x:c>
      <x:c r="B16" t="str">
        <x:v>Dorm posters with QR codes</x:v>
      </x:c>
      <x:c r="C16" s="24" t="n">
        <x:f>INDEX(Inputs!$C$14:$C$16,MATCH(B16,Inputs!$A$14:$A$16,0))</x:f>
        <x:v>55</x:v>
      </x:c>
      <x:c r="D16" s="30" t="n">
        <x:f>INDEX(Inputs!$D$14:$D$16,MATCH(B16,Inputs!$A$14:$A$16,0))</x:f>
        <x:v>300</x:v>
      </x:c>
      <x:c r="E16" s="32" t="n">
        <x:f>IF(Inputs!$B$4="Worst",INDEX(Inputs!$E$14:$E$16,MATCH(B16,Inputs!$A$14:$A$16,0)),IF(Inputs!$B$4="Best",INDEX(Inputs!$G$14:$G$16,MATCH(B16,Inputs!$A$14:$A$16,0)),INDEX(Inputs!$F$14:$F$16,MATCH(B16,Inputs!$A$14:$A$16,0))))</x:f>
        <x:v>0.06</x:v>
      </x:c>
      <x:c r="F16" s="34" t="n">
        <x:f>D16*E16</x:f>
        <x:v>18</x:v>
      </x:c>
      <x:c r="G16" s="34" t="n">
        <x:f>F16*INDEX(Inputs!$H$14:$H$16,MATCH(B16,Inputs!$A$14:$A$16,0))</x:f>
        <x:v>10.799999999999999</x:v>
      </x:c>
      <x:c r="H16" s="34" t="n">
        <x:f>G16*INDEX(Inputs!$I$14:$I$16,MATCH(B16,Inputs!$A$14:$A$16,0))</x:f>
        <x:v>5.3999999999999995</x:v>
      </x:c>
      <x:c r="I16" s="24" t="n">
        <x:f>IF(G16=0,0,C16/G16)</x:f>
        <x:v>5.0925925925925934</x:v>
      </x:c>
      <x:c r="J16" s="24" t="n">
        <x:f>INDEX(Inputs!$J$14:$J$16,MATCH(B16,Inputs!$A$14:$A$16,0))</x:f>
        <x:v>16.200000000000003</x:v>
      </x:c>
      <x:c r="K16" s="34" t="n">
        <x:f>Inputs!$B$11+SUM($H$5:H16)</x:f>
        <x:v>129.24000000000004</x:v>
      </x:c>
    </x:row>
    <x:row r="17">
      <x:c r="A17" t="n">
        <x:v>5</x:v>
      </x:c>
      <x:c r="B17" t="str">
        <x:v>Instagram/WhatsApp promotion</x:v>
      </x:c>
      <x:c r="C17" s="24" t="n">
        <x:f>INDEX(Inputs!$C$14:$C$16,MATCH(B17,Inputs!$A$14:$A$16,0))</x:f>
        <x:v>30</x:v>
      </x:c>
      <x:c r="D17" s="30" t="n">
        <x:f>INDEX(Inputs!$D$14:$D$16,MATCH(B17,Inputs!$A$14:$A$16,0))</x:f>
        <x:v>450</x:v>
      </x:c>
      <x:c r="E17" s="32" t="n">
        <x:f>IF(Inputs!$B$4="Worst",INDEX(Inputs!$E$14:$E$16,MATCH(B17,Inputs!$A$14:$A$16,0)),IF(Inputs!$B$4="Best",INDEX(Inputs!$G$14:$G$16,MATCH(B17,Inputs!$A$14:$A$16,0)),INDEX(Inputs!$F$14:$F$16,MATCH(B17,Inputs!$A$14:$A$16,0))))</x:f>
        <x:v>0.08</x:v>
      </x:c>
      <x:c r="F17" s="34" t="n">
        <x:f>D17*E17</x:f>
        <x:v>36</x:v>
      </x:c>
      <x:c r="G17" s="34" t="n">
        <x:f>F17*INDEX(Inputs!$H$14:$H$16,MATCH(B17,Inputs!$A$14:$A$16,0))</x:f>
        <x:v>23.400000000000002</x:v>
      </x:c>
      <x:c r="H17" s="34" t="n">
        <x:f>G17*INDEX(Inputs!$I$14:$I$16,MATCH(B17,Inputs!$A$14:$A$16,0))</x:f>
        <x:v>12.870000000000003</x:v>
      </x:c>
      <x:c r="I17" s="24" t="n">
        <x:f>IF(G17=0,0,C17/G17)</x:f>
        <x:v>1.282051282051282</x:v>
      </x:c>
      <x:c r="J17" s="24" t="n">
        <x:f>INDEX(Inputs!$J$14:$J$16,MATCH(B17,Inputs!$A$14:$A$16,0))</x:f>
        <x:v>16.200000000000003</x:v>
      </x:c>
      <x:c r="K17" s="34" t="n">
        <x:f>Inputs!$B$11+SUM($H$5:H17)</x:f>
        <x:v>142.11000000000004</x:v>
      </x:c>
    </x:row>
    <x:row r="18">
      <x:c r="A18" t="n">
        <x:v>5</x:v>
      </x:c>
      <x:c r="B18" t="str">
        <x:v>Resident assistant referrals</x:v>
      </x:c>
      <x:c r="C18" s="24" t="n">
        <x:f>INDEX(Inputs!$C$14:$C$16,MATCH(B18,Inputs!$A$14:$A$16,0))</x:f>
        <x:v>20</x:v>
      </x:c>
      <x:c r="D18" s="30" t="n">
        <x:f>INDEX(Inputs!$D$14:$D$16,MATCH(B18,Inputs!$A$14:$A$16,0))</x:f>
        <x:v>180</x:v>
      </x:c>
      <x:c r="E18" s="32" t="n">
        <x:f>IF(Inputs!$B$4="Worst",INDEX(Inputs!$E$14:$E$16,MATCH(B18,Inputs!$A$14:$A$16,0)),IF(Inputs!$B$4="Best",INDEX(Inputs!$G$14:$G$16,MATCH(B18,Inputs!$A$14:$A$16,0)),INDEX(Inputs!$F$14:$F$16,MATCH(B18,Inputs!$A$14:$A$16,0))))</x:f>
        <x:v>0.16</x:v>
      </x:c>
      <x:c r="F18" s="34" t="n">
        <x:f>D18*E18</x:f>
        <x:v>28.8</x:v>
      </x:c>
      <x:c r="G18" s="34" t="n">
        <x:f>F18*INDEX(Inputs!$H$14:$H$16,MATCH(B18,Inputs!$A$14:$A$16,0))</x:f>
        <x:v>21.6</x:v>
      </x:c>
      <x:c r="H18" s="34" t="n">
        <x:f>G18*INDEX(Inputs!$I$14:$I$16,MATCH(B18,Inputs!$A$14:$A$16,0))</x:f>
        <x:v>14.040000000000001</x:v>
      </x:c>
      <x:c r="I18" s="24" t="n">
        <x:f>IF(G18=0,0,C18/G18)</x:f>
        <x:v>0.9259259259259258</x:v>
      </x:c>
      <x:c r="J18" s="24" t="n">
        <x:f>INDEX(Inputs!$J$14:$J$16,MATCH(B18,Inputs!$A$14:$A$16,0))</x:f>
        <x:v>16.200000000000003</x:v>
      </x:c>
      <x:c r="K18" s="34" t="n">
        <x:f>Inputs!$B$11+SUM($H$5:H18)</x:f>
        <x:v>156.15000000000003</x:v>
      </x:c>
    </x:row>
    <x:row r="19">
      <x:c r="A19" t="n">
        <x:v>5</x:v>
      </x:c>
      <x:c r="B19" t="str">
        <x:v>Dorm posters with QR codes</x:v>
      </x:c>
      <x:c r="C19" s="24" t="n">
        <x:f>INDEX(Inputs!$C$14:$C$16,MATCH(B19,Inputs!$A$14:$A$16,0))</x:f>
        <x:v>55</x:v>
      </x:c>
      <x:c r="D19" s="30" t="n">
        <x:f>INDEX(Inputs!$D$14:$D$16,MATCH(B19,Inputs!$A$14:$A$16,0))</x:f>
        <x:v>300</x:v>
      </x:c>
      <x:c r="E19" s="32" t="n">
        <x:f>IF(Inputs!$B$4="Worst",INDEX(Inputs!$E$14:$E$16,MATCH(B19,Inputs!$A$14:$A$16,0)),IF(Inputs!$B$4="Best",INDEX(Inputs!$G$14:$G$16,MATCH(B19,Inputs!$A$14:$A$16,0)),INDEX(Inputs!$F$14:$F$16,MATCH(B19,Inputs!$A$14:$A$16,0))))</x:f>
        <x:v>0.06</x:v>
      </x:c>
      <x:c r="F19" s="34" t="n">
        <x:f>D19*E19</x:f>
        <x:v>18</x:v>
      </x:c>
      <x:c r="G19" s="34" t="n">
        <x:f>F19*INDEX(Inputs!$H$14:$H$16,MATCH(B19,Inputs!$A$14:$A$16,0))</x:f>
        <x:v>10.799999999999999</x:v>
      </x:c>
      <x:c r="H19" s="34" t="n">
        <x:f>G19*INDEX(Inputs!$I$14:$I$16,MATCH(B19,Inputs!$A$14:$A$16,0))</x:f>
        <x:v>5.3999999999999995</x:v>
      </x:c>
      <x:c r="I19" s="24" t="n">
        <x:f>IF(G19=0,0,C19/G19)</x:f>
        <x:v>5.0925925925925934</x:v>
      </x:c>
      <x:c r="J19" s="24" t="n">
        <x:f>INDEX(Inputs!$J$14:$J$16,MATCH(B19,Inputs!$A$14:$A$16,0))</x:f>
        <x:v>16.200000000000003</x:v>
      </x:c>
      <x:c r="K19" s="34" t="n">
        <x:f>Inputs!$B$11+SUM($H$5:H19)</x:f>
        <x:v>161.55000000000004</x:v>
      </x:c>
    </x:row>
    <x:row r="20">
      <x:c r="A20" t="n">
        <x:v>6</x:v>
      </x:c>
      <x:c r="B20" t="str">
        <x:v>Instagram/WhatsApp promotion</x:v>
      </x:c>
      <x:c r="C20" s="24" t="n">
        <x:f>INDEX(Inputs!$C$14:$C$16,MATCH(B20,Inputs!$A$14:$A$16,0))</x:f>
        <x:v>30</x:v>
      </x:c>
      <x:c r="D20" s="30" t="n">
        <x:f>INDEX(Inputs!$D$14:$D$16,MATCH(B20,Inputs!$A$14:$A$16,0))</x:f>
        <x:v>450</x:v>
      </x:c>
      <x:c r="E20" s="32" t="n">
        <x:f>IF(Inputs!$B$4="Worst",INDEX(Inputs!$E$14:$E$16,MATCH(B20,Inputs!$A$14:$A$16,0)),IF(Inputs!$B$4="Best",INDEX(Inputs!$G$14:$G$16,MATCH(B20,Inputs!$A$14:$A$16,0)),INDEX(Inputs!$F$14:$F$16,MATCH(B20,Inputs!$A$14:$A$16,0))))</x:f>
        <x:v>0.08</x:v>
      </x:c>
      <x:c r="F20" s="34" t="n">
        <x:f>D20*E20</x:f>
        <x:v>36</x:v>
      </x:c>
      <x:c r="G20" s="34" t="n">
        <x:f>F20*INDEX(Inputs!$H$14:$H$16,MATCH(B20,Inputs!$A$14:$A$16,0))</x:f>
        <x:v>23.400000000000002</x:v>
      </x:c>
      <x:c r="H20" s="34" t="n">
        <x:f>G20*INDEX(Inputs!$I$14:$I$16,MATCH(B20,Inputs!$A$14:$A$16,0))</x:f>
        <x:v>12.870000000000003</x:v>
      </x:c>
      <x:c r="I20" s="24" t="n">
        <x:f>IF(G20=0,0,C20/G20)</x:f>
        <x:v>1.282051282051282</x:v>
      </x:c>
      <x:c r="J20" s="24" t="n">
        <x:f>INDEX(Inputs!$J$14:$J$16,MATCH(B20,Inputs!$A$14:$A$16,0))</x:f>
        <x:v>16.200000000000003</x:v>
      </x:c>
      <x:c r="K20" s="34" t="n">
        <x:f>Inputs!$B$11+SUM($H$5:H20)</x:f>
        <x:v>174.42000000000004</x:v>
      </x:c>
    </x:row>
    <x:row r="21">
      <x:c r="A21" t="n">
        <x:v>6</x:v>
      </x:c>
      <x:c r="B21" t="str">
        <x:v>Resident assistant referrals</x:v>
      </x:c>
      <x:c r="C21" s="24" t="n">
        <x:f>INDEX(Inputs!$C$14:$C$16,MATCH(B21,Inputs!$A$14:$A$16,0))</x:f>
        <x:v>20</x:v>
      </x:c>
      <x:c r="D21" s="30" t="n">
        <x:f>INDEX(Inputs!$D$14:$D$16,MATCH(B21,Inputs!$A$14:$A$16,0))</x:f>
        <x:v>180</x:v>
      </x:c>
      <x:c r="E21" s="32" t="n">
        <x:f>IF(Inputs!$B$4="Worst",INDEX(Inputs!$E$14:$E$16,MATCH(B21,Inputs!$A$14:$A$16,0)),IF(Inputs!$B$4="Best",INDEX(Inputs!$G$14:$G$16,MATCH(B21,Inputs!$A$14:$A$16,0)),INDEX(Inputs!$F$14:$F$16,MATCH(B21,Inputs!$A$14:$A$16,0))))</x:f>
        <x:v>0.16</x:v>
      </x:c>
      <x:c r="F21" s="34" t="n">
        <x:f>D21*E21</x:f>
        <x:v>28.8</x:v>
      </x:c>
      <x:c r="G21" s="34" t="n">
        <x:f>F21*INDEX(Inputs!$H$14:$H$16,MATCH(B21,Inputs!$A$14:$A$16,0))</x:f>
        <x:v>21.6</x:v>
      </x:c>
      <x:c r="H21" s="34" t="n">
        <x:f>G21*INDEX(Inputs!$I$14:$I$16,MATCH(B21,Inputs!$A$14:$A$16,0))</x:f>
        <x:v>14.040000000000001</x:v>
      </x:c>
      <x:c r="I21" s="24" t="n">
        <x:f>IF(G21=0,0,C21/G21)</x:f>
        <x:v>0.9259259259259258</x:v>
      </x:c>
      <x:c r="J21" s="24" t="n">
        <x:f>INDEX(Inputs!$J$14:$J$16,MATCH(B21,Inputs!$A$14:$A$16,0))</x:f>
        <x:v>16.200000000000003</x:v>
      </x:c>
      <x:c r="K21" s="34" t="n">
        <x:f>Inputs!$B$11+SUM($H$5:H21)</x:f>
        <x:v>188.46000000000004</x:v>
      </x:c>
    </x:row>
    <x:row r="22">
      <x:c r="A22" t="n">
        <x:v>6</x:v>
      </x:c>
      <x:c r="B22" t="str">
        <x:v>Dorm posters with QR codes</x:v>
      </x:c>
      <x:c r="C22" s="24" t="n">
        <x:f>INDEX(Inputs!$C$14:$C$16,MATCH(B22,Inputs!$A$14:$A$16,0))</x:f>
        <x:v>55</x:v>
      </x:c>
      <x:c r="D22" s="30" t="n">
        <x:f>INDEX(Inputs!$D$14:$D$16,MATCH(B22,Inputs!$A$14:$A$16,0))</x:f>
        <x:v>300</x:v>
      </x:c>
      <x:c r="E22" s="32" t="n">
        <x:f>IF(Inputs!$B$4="Worst",INDEX(Inputs!$E$14:$E$16,MATCH(B22,Inputs!$A$14:$A$16,0)),IF(Inputs!$B$4="Best",INDEX(Inputs!$G$14:$G$16,MATCH(B22,Inputs!$A$14:$A$16,0)),INDEX(Inputs!$F$14:$F$16,MATCH(B22,Inputs!$A$14:$A$16,0))))</x:f>
        <x:v>0.06</x:v>
      </x:c>
      <x:c r="F22" s="34" t="n">
        <x:f>D22*E22</x:f>
        <x:v>18</x:v>
      </x:c>
      <x:c r="G22" s="34" t="n">
        <x:f>F22*INDEX(Inputs!$H$14:$H$16,MATCH(B22,Inputs!$A$14:$A$16,0))</x:f>
        <x:v>10.799999999999999</x:v>
      </x:c>
      <x:c r="H22" s="34" t="n">
        <x:f>G22*INDEX(Inputs!$I$14:$I$16,MATCH(B22,Inputs!$A$14:$A$16,0))</x:f>
        <x:v>5.3999999999999995</x:v>
      </x:c>
      <x:c r="I22" s="24" t="n">
        <x:f>IF(G22=0,0,C22/G22)</x:f>
        <x:v>5.0925925925925934</x:v>
      </x:c>
      <x:c r="J22" s="24" t="n">
        <x:f>INDEX(Inputs!$J$14:$J$16,MATCH(B22,Inputs!$A$14:$A$16,0))</x:f>
        <x:v>16.200000000000003</x:v>
      </x:c>
      <x:c r="K22" s="34" t="n">
        <x:f>Inputs!$B$11+SUM($H$5:H22)</x:f>
        <x:v>193.86000000000004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6b1734199534b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40" t="str">
        <x:v>DormSync Growth Projection Outputs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</x:row>
    <x:row r="2">
      <x:c r="A2" t="str">
        <x:v>Summary view and expected cumulative user chart. Scenario is controlled from Inputs!B4.</x:v>
      </x:c>
    </x:row>
    <x:row r="4">
      <x:c r="A4" s="9" t="str">
        <x:v>Selected Scenario</x:v>
      </x:c>
      <x:c r="B4" s="9" t="str">
        <x:f>Inputs!$B$4</x:f>
        <x:v>Expected</x:v>
      </x:c>
    </x:row>
    <x:row r="5">
      <x:c r="A5" s="27" t="str">
        <x:v>6-Month Spend</x:v>
      </x:c>
      <x:c r="B5" s="24" t="n">
        <x:f>SUM(Calculations!$C$5:$C$22)</x:f>
        <x:v>630</x:v>
      </x:c>
    </x:row>
    <x:row r="6">
      <x:c r="A6" s="27" t="str">
        <x:v>6-Month Signups</x:v>
      </x:c>
      <x:c r="B6" s="34" t="n">
        <x:f>SUM(Calculations!$F$5:$F$22)</x:f>
        <x:v>496.8</x:v>
      </x:c>
    </x:row>
    <x:row r="7">
      <x:c r="A7" s="27" t="str">
        <x:v>6-Month Activated</x:v>
      </x:c>
      <x:c r="B7" s="34" t="n">
        <x:f>SUM(Calculations!$G$5:$G$22)</x:f>
        <x:v>334.80000000000007</x:v>
      </x:c>
    </x:row>
    <x:row r="8">
      <x:c r="A8" s="27" t="str">
        <x:v>Final Cumulative Retained Users</x:v>
      </x:c>
      <x:c r="B8" s="34" t="n">
        <x:f>MAX(Calculations!$K$5:$K$22)</x:f>
        <x:v>193.86000000000004</x:v>
      </x:c>
    </x:row>
    <x:row r="9">
      <x:c r="A9" s="27" t="str">
        <x:v>Average CAC</x:v>
      </x:c>
      <x:c r="B9" s="24" t="n">
        <x:f>SUM(Calculations!$C$5:$C$22)/SUM(Calculations!$G$5:$G$22)</x:f>
        <x:v>1.8817204301075265</x:v>
      </x:c>
    </x:row>
    <x:row r="11">
      <x:c r="A11" s="13" t="str">
        <x:v>Month</x:v>
      </x:c>
      <x:c r="B11" s="13" t="str">
        <x:v>Spend</x:v>
      </x:c>
      <x:c r="C11" s="13" t="str">
        <x:v>Signups</x:v>
      </x:c>
      <x:c r="D11" s="13" t="str">
        <x:v>Activated</x:v>
      </x:c>
      <x:c r="E11" s="13" t="str">
        <x:v>Cumulative Users</x:v>
      </x:c>
    </x:row>
    <x:row r="12">
      <x:c r="A12" t="n">
        <x:v>1</x:v>
      </x:c>
      <x:c r="B12" s="24" t="n">
        <x:f>SUMIFS(Calculations!$C$5:$C$22,Calculations!$A$5:$A$22,A12)</x:f>
        <x:v>105</x:v>
      </x:c>
      <x:c r="C12" s="34" t="n">
        <x:f>SUMIFS(Calculations!$F$5:$F$22,Calculations!$A$5:$A$22,A12)</x:f>
        <x:v>82.8</x:v>
      </x:c>
      <x:c r="D12" s="34" t="n">
        <x:f>SUMIFS(Calculations!$G$5:$G$22,Calculations!$A$5:$A$22,A12)</x:f>
        <x:v>55.8</x:v>
      </x:c>
      <x:c r="E12" s="34" t="n">
        <x:f>MAXIFS(Calculations!$K$5:$K$22,Calculations!$A$5:$A$22,A12)</x:f>
        <x:v>32.31</x:v>
      </x:c>
    </x:row>
    <x:row r="13">
      <x:c r="A13" t="n">
        <x:v>2</x:v>
      </x:c>
      <x:c r="B13" s="24" t="n">
        <x:f>SUMIFS(Calculations!$C$5:$C$22,Calculations!$A$5:$A$22,A13)</x:f>
        <x:v>105</x:v>
      </x:c>
      <x:c r="C13" s="34" t="n">
        <x:f>SUMIFS(Calculations!$F$5:$F$22,Calculations!$A$5:$A$22,A13)</x:f>
        <x:v>82.8</x:v>
      </x:c>
      <x:c r="D13" s="34" t="n">
        <x:f>SUMIFS(Calculations!$G$5:$G$22,Calculations!$A$5:$A$22,A13)</x:f>
        <x:v>55.8</x:v>
      </x:c>
      <x:c r="E13" s="34" t="n">
        <x:f>MAXIFS(Calculations!$K$5:$K$22,Calculations!$A$5:$A$22,A13)</x:f>
        <x:v>64.62</x:v>
      </x:c>
    </x:row>
    <x:row r="14">
      <x:c r="A14" t="n">
        <x:v>3</x:v>
      </x:c>
      <x:c r="B14" s="24" t="n">
        <x:f>SUMIFS(Calculations!$C$5:$C$22,Calculations!$A$5:$A$22,A14)</x:f>
        <x:v>105</x:v>
      </x:c>
      <x:c r="C14" s="34" t="n">
        <x:f>SUMIFS(Calculations!$F$5:$F$22,Calculations!$A$5:$A$22,A14)</x:f>
        <x:v>82.8</x:v>
      </x:c>
      <x:c r="D14" s="34" t="n">
        <x:f>SUMIFS(Calculations!$G$5:$G$22,Calculations!$A$5:$A$22,A14)</x:f>
        <x:v>55.8</x:v>
      </x:c>
      <x:c r="E14" s="34" t="n">
        <x:f>MAXIFS(Calculations!$K$5:$K$22,Calculations!$A$5:$A$22,A14)</x:f>
        <x:v>96.93000000000002</x:v>
      </x:c>
    </x:row>
    <x:row r="15">
      <x:c r="A15" t="n">
        <x:v>4</x:v>
      </x:c>
      <x:c r="B15" s="24" t="n">
        <x:f>SUMIFS(Calculations!$C$5:$C$22,Calculations!$A$5:$A$22,A15)</x:f>
        <x:v>105</x:v>
      </x:c>
      <x:c r="C15" s="34" t="n">
        <x:f>SUMIFS(Calculations!$F$5:$F$22,Calculations!$A$5:$A$22,A15)</x:f>
        <x:v>82.8</x:v>
      </x:c>
      <x:c r="D15" s="34" t="n">
        <x:f>SUMIFS(Calculations!$G$5:$G$22,Calculations!$A$5:$A$22,A15)</x:f>
        <x:v>55.8</x:v>
      </x:c>
      <x:c r="E15" s="34" t="n">
        <x:f>MAXIFS(Calculations!$K$5:$K$22,Calculations!$A$5:$A$22,A15)</x:f>
        <x:v>129.24000000000004</x:v>
      </x:c>
    </x:row>
    <x:row r="16">
      <x:c r="A16" t="n">
        <x:v>5</x:v>
      </x:c>
      <x:c r="B16" s="24" t="n">
        <x:f>SUMIFS(Calculations!$C$5:$C$22,Calculations!$A$5:$A$22,A16)</x:f>
        <x:v>105</x:v>
      </x:c>
      <x:c r="C16" s="34" t="n">
        <x:f>SUMIFS(Calculations!$F$5:$F$22,Calculations!$A$5:$A$22,A16)</x:f>
        <x:v>82.8</x:v>
      </x:c>
      <x:c r="D16" s="34" t="n">
        <x:f>SUMIFS(Calculations!$G$5:$G$22,Calculations!$A$5:$A$22,A16)</x:f>
        <x:v>55.8</x:v>
      </x:c>
      <x:c r="E16" s="34" t="n">
        <x:f>MAXIFS(Calculations!$K$5:$K$22,Calculations!$A$5:$A$22,A16)</x:f>
        <x:v>161.55000000000004</x:v>
      </x:c>
    </x:row>
    <x:row r="17">
      <x:c r="A17" t="n">
        <x:v>6</x:v>
      </x:c>
      <x:c r="B17" s="24" t="n">
        <x:f>SUMIFS(Calculations!$C$5:$C$22,Calculations!$A$5:$A$22,A17)</x:f>
        <x:v>105</x:v>
      </x:c>
      <x:c r="C17" s="34" t="n">
        <x:f>SUMIFS(Calculations!$F$5:$F$22,Calculations!$A$5:$A$22,A17)</x:f>
        <x:v>82.8</x:v>
      </x:c>
      <x:c r="D17" s="34" t="n">
        <x:f>SUMIFS(Calculations!$G$5:$G$22,Calculations!$A$5:$A$22,A17)</x:f>
        <x:v>55.8</x:v>
      </x:c>
      <x:c r="E17" s="34" t="n">
        <x:f>MAXIFS(Calculations!$K$5:$K$22,Calculations!$A$5:$A$22,A17)</x:f>
        <x:v>193.86000000000004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5fb2db70c9f4688"/>
  <x:tableParts count="1">
    <x:tablePart xmlns:r="http://schemas.openxmlformats.org/officeDocument/2006/relationships" r:id="R89b1eb0a446049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40" t="str">
        <x:v>DormSync Stress Test: Top Channel Conversion Rate Halved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</x:row>
    <x:row r="2">
      <x:c r="A2" t="str">
        <x:v>Tests what happens if Instagram/WhatsApp signup rate is 50% lower than expected.</x:v>
      </x:c>
    </x:row>
    <x:row r="4">
      <x:c r="A4" s="13" t="str">
        <x:v>Metric</x:v>
      </x:c>
      <x:c r="B4" s="13" t="str">
        <x:v>Base Expected</x:v>
      </x:c>
      <x:c r="C4" s="13" t="str">
        <x:v>Stress Case</x:v>
      </x:c>
      <x:c r="D4" s="13" t="str">
        <x:v>Difference</x:v>
      </x:c>
    </x:row>
    <x:row r="5">
      <x:c r="A5" t="str">
        <x:v>Instagram/WhatsApp signup rate</x:v>
      </x:c>
      <x:c r="B5" s="32" t="n">
        <x:f>Inputs!F14</x:f>
        <x:v>0.08</x:v>
      </x:c>
      <x:c r="C5" s="32" t="n">
        <x:f>Inputs!F14*0.5</x:f>
        <x:v>0.04</x:v>
      </x:c>
      <x:c r="D5" s="32" t="n">
        <x:f>C5-B5</x:f>
        <x:v>-0.04</x:v>
      </x:c>
    </x:row>
    <x:row r="6">
      <x:c r="A6" t="str">
        <x:v>Total signups from top channel</x:v>
      </x:c>
      <x:c r="B6" s="34" t="n">
        <x:f>SUMIFS(Calculations!$F$5:$F$22,Calculations!$B$5:$B$22,"Instagram/WhatsApp promotion")</x:f>
        <x:v>216</x:v>
      </x:c>
      <x:c r="C6" s="34" t="n">
        <x:f>B6*0.5</x:f>
        <x:v>108</x:v>
      </x:c>
      <x:c r="D6" s="34" t="n">
        <x:f>C6-B6</x:f>
        <x:v>-108</x:v>
      </x:c>
    </x:row>
    <x:row r="7">
      <x:c r="A7" t="str">
        <x:v>Total activated from top channel</x:v>
      </x:c>
      <x:c r="B7" s="34" t="n">
        <x:f>SUMIFS(Calculations!$G$5:$G$22,Calculations!$B$5:$B$22,"Instagram/WhatsApp promotion")</x:f>
        <x:v>140.4</x:v>
      </x:c>
      <x:c r="C7" s="34" t="n">
        <x:f>B7*0.5</x:f>
        <x:v>70.2</x:v>
      </x:c>
      <x:c r="D7" s="34" t="n">
        <x:f>C7-B7</x:f>
        <x:v>-70.2</x:v>
      </x:c>
    </x:row>
    <x:row r="8">
      <x:c r="A8" t="str">
        <x:v>Total retained D30 from top channel</x:v>
      </x:c>
      <x:c r="B8" s="34" t="n">
        <x:f>SUMIFS(Calculations!$H$5:$H$22,Calculations!$B$5:$B$22,"Instagram/WhatsApp promotion")</x:f>
        <x:v>77.22000000000001</x:v>
      </x:c>
      <x:c r="C8" s="34" t="n">
        <x:f>B8*0.5</x:f>
        <x:v>38.61000000000001</x:v>
      </x:c>
      <x:c r="D8" s="34" t="n">
        <x:f>C8-B8</x:f>
        <x:v>-38.61000000000001</x:v>
      </x:c>
    </x:row>
    <x:row r="9">
      <x:c r="A9" t="str">
        <x:v>Final cumulative users</x:v>
      </x:c>
      <x:c r="B9" s="34" t="n">
        <x:f>Outputs!B8</x:f>
        <x:v>193.86000000000004</x:v>
      </x:c>
      <x:c r="C9" s="34" t="n">
        <x:f>B9+(C8-B8)</x:f>
        <x:v>155.25000000000003</x:v>
      </x:c>
      <x:c r="D9" s="34" t="n">
        <x:f>C9-B9</x:f>
        <x:v>-38.610000000000014</x:v>
      </x:c>
    </x:row>
    <x:row r="11">
      <x:c r="A11" s="27" t="str">
        <x:v>Interpretation</x:v>
      </x:c>
    </x:row>
    <x:row r="12">
      <x:c r="A12" t="str">
        <x:v>If the top channel signup conversion halves, Sprint 2 should shift more effort into resident assistant referrals and QR posters.</x:v>
      </x:c>
      <x:c r="B12" t="str"/>
      <x:c r="C12" t="str"/>
      <x:c r="D12" t="str"/>
      <x:c r="E12" t="str"/>
      <x:c r="F12" t="str"/>
      <x:c r="G12" t="str"/>
      <x:c r="H12" t="str"/>
    </x:row>
    <x:row r="13">
      <x:c r="A13" t="str">
        <x:v>This stress test is intentionally simple and should be replaced with real analytics after the first growth experiment.</x:v>
      </x:c>
      <x:c r="B13" t="str"/>
      <x:c r="C13" t="str"/>
      <x:c r="D13" t="str"/>
      <x:c r="E13" t="str"/>
      <x:c r="F13" t="str"/>
      <x:c r="G13" t="str"/>
      <x:c r="H13" t="str"/>
    </x:row>
    <x:row r="14">
      <x:c r="A14" t="str">
        <x:v>Decision rule: if the stressed case still produces at least 60 retained users by month 6, keep the channel; otherwise reduce spend/time.</x:v>
      </x:c>
      <x:c r="B14" t="str"/>
      <x:c r="C14" t="str"/>
      <x:c r="D14" t="str"/>
      <x:c r="E14" t="str"/>
      <x:c r="F14" t="str"/>
      <x:c r="G14" t="str"/>
      <x:c r="H14" t="str"/>
    </x:row>
    <x:row r="15">
      <x:c r="A15" t="str">
        <x:v>Top risk: early conversion assumptions are placeholders until real traffic and activation data are collected.</x:v>
      </x:c>
      <x:c r="B15" t="str"/>
      <x:c r="C15" t="str"/>
      <x:c r="D15" t="str"/>
      <x:c r="E15" t="str"/>
      <x:c r="F15" t="str"/>
      <x:c r="G15" t="str"/>
      <x:c r="H15" t="str"/>
    </x:row>
  </x:sheetData>
  <x:mergeCells>
    <x:mergeCell ref="A1:H1"/>
    <x:mergeCell ref="A2:H2"/>
    <x:mergeCell ref="A11:H11"/>
  </x:mergeCells>
  <x:pageMargins left="0.7" right="0.7" top="0.75" bottom="0.75" header="0.3" footer="0.3"/>
</x:worksheet>
</file>